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0B283729-1FCF-4429-940F-327492CF458F}" xr6:coauthVersionLast="47" xr6:coauthVersionMax="47" xr10:uidLastSave="{00000000-0000-0000-0000-000000000000}"/>
  <bookViews>
    <workbookView xWindow="-110" yWindow="-110" windowWidth="19420" windowHeight="11500" xr2:uid="{69F9B665-F0AD-7D48-9F28-B288173E875C}"/>
  </bookViews>
  <sheets>
    <sheet name="MATRIZ VESTER 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I11" i="1"/>
  <c r="I10" i="1"/>
  <c r="I9" i="1"/>
  <c r="I8" i="1"/>
  <c r="I7" i="1"/>
  <c r="L12" i="1" l="1"/>
  <c r="M12" i="1"/>
  <c r="I12" i="1"/>
  <c r="M6" i="1"/>
  <c r="L6" i="1"/>
</calcChain>
</file>

<file path=xl/sharedStrings.xml><?xml version="1.0" encoding="utf-8"?>
<sst xmlns="http://schemas.openxmlformats.org/spreadsheetml/2006/main" count="40" uniqueCount="27">
  <si>
    <t>MATRIZ DE VESTER</t>
  </si>
  <si>
    <t xml:space="preserve">Coloque en la lista los problemas asociados a la temática que está trabajando (entre 5 y 8). Luego realizar la matriz de Vester (tabla y gráfica en el plano cartesiano). </t>
  </si>
  <si>
    <t>Graficación de resultados</t>
  </si>
  <si>
    <t>Total activos</t>
  </si>
  <si>
    <t>Total pasivos</t>
  </si>
  <si>
    <t>Promedio</t>
  </si>
  <si>
    <t xml:space="preserve">Resultado: </t>
  </si>
  <si>
    <t>Causas:</t>
  </si>
  <si>
    <t>Efectos:</t>
  </si>
  <si>
    <t>P1</t>
  </si>
  <si>
    <t>P2</t>
  </si>
  <si>
    <t>P3</t>
  </si>
  <si>
    <t>P4</t>
  </si>
  <si>
    <t>P5</t>
  </si>
  <si>
    <t>Problema uno (P1)</t>
  </si>
  <si>
    <t>Problema dos (P2)</t>
  </si>
  <si>
    <t>Problema tres (P3)</t>
  </si>
  <si>
    <t>Problema cuatro (P4)</t>
  </si>
  <si>
    <t>Problema cinco (P5)</t>
  </si>
  <si>
    <t>DEPENDENCIA-PASIVOS</t>
  </si>
  <si>
    <t>INFLUENCIA - ACTIVOS</t>
  </si>
  <si>
    <t>Aumento de los robos en plataformas de comercio electrónico durante temporadas de ventas masivas, debido a la falta de mecanismos eficientes de seguridad y monitoreo.</t>
  </si>
  <si>
    <t>Vulnerabilidad ante intentos de robo en línea</t>
  </si>
  <si>
    <t>Alta concurrencia de usuarios sin control adecuado</t>
  </si>
  <si>
    <t>Falta de clasificación de confiabilidad de las transacciones</t>
  </si>
  <si>
    <t>Riesgo económico y reputacional para las plataformas</t>
  </si>
  <si>
    <t>Dificultad para mantener equilibrio entre seguridad y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</si>
</sst>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72"/>
      <color theme="1"/>
      <name val="Verdana"/>
      <family val="2"/>
    </font>
    <font>
      <sz val="15"/>
      <color theme="1"/>
      <name val="Arial"/>
      <family val="2"/>
    </font>
    <font>
      <sz val="20"/>
      <color theme="1"/>
      <name val="Arial"/>
      <family val="2"/>
    </font>
    <font>
      <b/>
      <sz val="12"/>
      <color theme="1"/>
      <name val="Verdana"/>
      <family val="2"/>
    </font>
    <font>
      <b/>
      <sz val="17"/>
      <color theme="1"/>
      <name val="Arial"/>
      <family val="2"/>
    </font>
    <font>
      <b/>
      <sz val="14"/>
      <color theme="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5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000000"/>
      <name val="Cambria"/>
      <family val="1"/>
    </font>
    <font>
      <sz val="20"/>
      <color theme="1"/>
      <name val="Verdana"/>
      <family val="2"/>
    </font>
    <font>
      <u/>
      <sz val="12"/>
      <color theme="1"/>
      <name val="Verdana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top"/>
    </xf>
    <xf numFmtId="0" fontId="5" fillId="0" borderId="6" xfId="0" applyFont="1" applyBorder="1" applyAlignment="1">
      <alignment horizontal="center"/>
    </xf>
    <xf numFmtId="0" fontId="6" fillId="0" borderId="0" xfId="0" applyFont="1"/>
    <xf numFmtId="0" fontId="8" fillId="3" borderId="0" xfId="0" applyFont="1" applyFill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8" fillId="0" borderId="7" xfId="0" applyFont="1" applyBorder="1"/>
    <xf numFmtId="0" fontId="5" fillId="0" borderId="0" xfId="0" applyFont="1"/>
    <xf numFmtId="0" fontId="5" fillId="0" borderId="8" xfId="0" applyFont="1" applyBorder="1"/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3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9" fillId="4" borderId="7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wrapText="1"/>
    </xf>
    <xf numFmtId="1" fontId="8" fillId="3" borderId="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6" fillId="0" borderId="0" xfId="0" applyFont="1"/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 textRotation="255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157530</xdr:colOff>
      <xdr:row>5</xdr:row>
      <xdr:rowOff>243598</xdr:rowOff>
    </xdr:from>
    <xdr:to>
      <xdr:col>20</xdr:col>
      <xdr:colOff>157531</xdr:colOff>
      <xdr:row>32</xdr:row>
      <xdr:rowOff>37689</xdr:rowOff>
    </xdr:to>
    <xdr:cxnSp macro="">
      <xdr:nvCxnSpPr>
        <xdr:cNvPr id="2" name="Conector recto 15">
          <a:extLst>
            <a:ext uri="{FF2B5EF4-FFF2-40B4-BE49-F238E27FC236}">
              <a16:creationId xmlns:a16="http://schemas.microsoft.com/office/drawing/2014/main" id="{7664DFCF-49BA-7848-BE25-815A5FA5FA0E}"/>
            </a:ext>
          </a:extLst>
        </xdr:cNvPr>
        <xdr:cNvCxnSpPr/>
      </xdr:nvCxnSpPr>
      <xdr:spPr>
        <a:xfrm>
          <a:off x="15861933" y="2451882"/>
          <a:ext cx="1" cy="6418941"/>
        </a:xfrm>
        <a:prstGeom prst="line">
          <a:avLst/>
        </a:prstGeom>
        <a:ln w="635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18084</xdr:colOff>
      <xdr:row>26</xdr:row>
      <xdr:rowOff>108199</xdr:rowOff>
    </xdr:from>
    <xdr:to>
      <xdr:col>46</xdr:col>
      <xdr:colOff>221283</xdr:colOff>
      <xdr:row>26</xdr:row>
      <xdr:rowOff>108199</xdr:rowOff>
    </xdr:to>
    <xdr:cxnSp macro="">
      <xdr:nvCxnSpPr>
        <xdr:cNvPr id="3" name="Conector recto 16">
          <a:extLst>
            <a:ext uri="{FF2B5EF4-FFF2-40B4-BE49-F238E27FC236}">
              <a16:creationId xmlns:a16="http://schemas.microsoft.com/office/drawing/2014/main" id="{F860C794-3828-3049-98BD-768E3A14D44D}"/>
            </a:ext>
          </a:extLst>
        </xdr:cNvPr>
        <xdr:cNvCxnSpPr/>
      </xdr:nvCxnSpPr>
      <xdr:spPr>
        <a:xfrm flipH="1">
          <a:off x="14777023" y="7622366"/>
          <a:ext cx="9603124" cy="0"/>
        </a:xfrm>
        <a:prstGeom prst="line">
          <a:avLst/>
        </a:prstGeom>
        <a:ln w="635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13905</xdr:colOff>
      <xdr:row>14</xdr:row>
      <xdr:rowOff>254000</xdr:rowOff>
    </xdr:from>
    <xdr:ext cx="2129220" cy="1154162"/>
    <xdr:sp macro="" textlink="">
      <xdr:nvSpPr>
        <xdr:cNvPr id="4" name="Rectángulo 17">
          <a:extLst>
            <a:ext uri="{FF2B5EF4-FFF2-40B4-BE49-F238E27FC236}">
              <a16:creationId xmlns:a16="http://schemas.microsoft.com/office/drawing/2014/main" id="{4442FB4D-82B0-704B-A73A-A2DA754C08D0}"/>
            </a:ext>
          </a:extLst>
        </xdr:cNvPr>
        <xdr:cNvSpPr/>
      </xdr:nvSpPr>
      <xdr:spPr>
        <a:xfrm>
          <a:off x="16857280" y="4968875"/>
          <a:ext cx="2129220" cy="11541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Pasivos </a:t>
          </a:r>
        </a:p>
        <a:p>
          <a:pPr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o efectos</a:t>
          </a:r>
        </a:p>
      </xdr:txBody>
    </xdr:sp>
    <xdr:clientData/>
  </xdr:oneCellAnchor>
  <xdr:oneCellAnchor>
    <xdr:from>
      <xdr:col>25</xdr:col>
      <xdr:colOff>206375</xdr:colOff>
      <xdr:row>14</xdr:row>
      <xdr:rowOff>238125</xdr:rowOff>
    </xdr:from>
    <xdr:ext cx="2672176" cy="1154162"/>
    <xdr:sp macro="" textlink="">
      <xdr:nvSpPr>
        <xdr:cNvPr id="5" name="Rectángulo 18">
          <a:extLst>
            <a:ext uri="{FF2B5EF4-FFF2-40B4-BE49-F238E27FC236}">
              <a16:creationId xmlns:a16="http://schemas.microsoft.com/office/drawing/2014/main" id="{BDA93226-AFA9-FC43-A1B3-633A010110F0}"/>
            </a:ext>
          </a:extLst>
        </xdr:cNvPr>
        <xdr:cNvSpPr/>
      </xdr:nvSpPr>
      <xdr:spPr>
        <a:xfrm>
          <a:off x="19208750" y="4953000"/>
          <a:ext cx="2672176" cy="11541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Críticos o </a:t>
          </a:r>
        </a:p>
        <a:p>
          <a:pPr marL="0" indent="0"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centrales</a:t>
          </a:r>
        </a:p>
      </xdr:txBody>
    </xdr:sp>
    <xdr:clientData/>
  </xdr:oneCellAnchor>
  <xdr:oneCellAnchor>
    <xdr:from>
      <xdr:col>15</xdr:col>
      <xdr:colOff>206375</xdr:colOff>
      <xdr:row>25</xdr:row>
      <xdr:rowOff>123825</xdr:rowOff>
    </xdr:from>
    <xdr:ext cx="2986799" cy="623248"/>
    <xdr:sp macro="" textlink="">
      <xdr:nvSpPr>
        <xdr:cNvPr id="6" name="Rectángulo 19">
          <a:extLst>
            <a:ext uri="{FF2B5EF4-FFF2-40B4-BE49-F238E27FC236}">
              <a16:creationId xmlns:a16="http://schemas.microsoft.com/office/drawing/2014/main" id="{03374252-90BD-C947-BE25-A64ABA1F4C92}"/>
            </a:ext>
          </a:extLst>
        </xdr:cNvPr>
        <xdr:cNvSpPr/>
      </xdr:nvSpPr>
      <xdr:spPr>
        <a:xfrm>
          <a:off x="16398875" y="7378700"/>
          <a:ext cx="2986799" cy="62324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Indiferentes</a:t>
          </a:r>
        </a:p>
      </xdr:txBody>
    </xdr:sp>
    <xdr:clientData/>
  </xdr:oneCellAnchor>
  <xdr:oneCellAnchor>
    <xdr:from>
      <xdr:col>27</xdr:col>
      <xdr:colOff>32945</xdr:colOff>
      <xdr:row>24</xdr:row>
      <xdr:rowOff>25400</xdr:rowOff>
    </xdr:from>
    <xdr:ext cx="2185855" cy="1154162"/>
    <xdr:sp macro="" textlink="">
      <xdr:nvSpPr>
        <xdr:cNvPr id="7" name="Rectángulo 20">
          <a:extLst>
            <a:ext uri="{FF2B5EF4-FFF2-40B4-BE49-F238E27FC236}">
              <a16:creationId xmlns:a16="http://schemas.microsoft.com/office/drawing/2014/main" id="{03714493-CB0F-6147-8D98-BAFA8478260E}"/>
            </a:ext>
          </a:extLst>
        </xdr:cNvPr>
        <xdr:cNvSpPr/>
      </xdr:nvSpPr>
      <xdr:spPr>
        <a:xfrm>
          <a:off x="19749695" y="7073900"/>
          <a:ext cx="2185855" cy="11541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3600" b="0" cap="none" spc="0" noProof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Activos o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3600" b="0" cap="none" spc="0" noProof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causas</a:t>
          </a:r>
        </a:p>
      </xdr:txBody>
    </xdr:sp>
    <xdr:clientData/>
  </xdr:oneCellAnchor>
  <xdr:twoCellAnchor>
    <xdr:from>
      <xdr:col>36</xdr:col>
      <xdr:colOff>3175</xdr:colOff>
      <xdr:row>15</xdr:row>
      <xdr:rowOff>127000</xdr:rowOff>
    </xdr:from>
    <xdr:to>
      <xdr:col>38</xdr:col>
      <xdr:colOff>273049</xdr:colOff>
      <xdr:row>21</xdr:row>
      <xdr:rowOff>76199</xdr:rowOff>
    </xdr:to>
    <xdr:sp macro="" textlink="">
      <xdr:nvSpPr>
        <xdr:cNvPr id="8" name="Forma libre 21">
          <a:extLst>
            <a:ext uri="{FF2B5EF4-FFF2-40B4-BE49-F238E27FC236}">
              <a16:creationId xmlns:a16="http://schemas.microsoft.com/office/drawing/2014/main" id="{B73F7450-970E-3F4A-B525-EA3CE63B909B}"/>
            </a:ext>
          </a:extLst>
        </xdr:cNvPr>
        <xdr:cNvSpPr/>
      </xdr:nvSpPr>
      <xdr:spPr>
        <a:xfrm flipV="1">
          <a:off x="23117175" y="5143500"/>
          <a:ext cx="1031874" cy="1346199"/>
        </a:xfrm>
        <a:custGeom>
          <a:avLst/>
          <a:gdLst>
            <a:gd name="connsiteX0" fmla="*/ 0 w 2110914"/>
            <a:gd name="connsiteY0" fmla="*/ 0 h 2349500"/>
            <a:gd name="connsiteX1" fmla="*/ 1984375 w 2110914"/>
            <a:gd name="connsiteY1" fmla="*/ 2063750 h 2349500"/>
            <a:gd name="connsiteX2" fmla="*/ 1920875 w 2110914"/>
            <a:gd name="connsiteY2" fmla="*/ 2143125 h 2349500"/>
            <a:gd name="connsiteX3" fmla="*/ 2016125 w 2110914"/>
            <a:gd name="connsiteY3" fmla="*/ 2349500 h 2349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110914" h="2349500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chemeClr val="accent2"/>
        </a:solidFill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34</xdr:col>
      <xdr:colOff>146050</xdr:colOff>
      <xdr:row>11</xdr:row>
      <xdr:rowOff>371476</xdr:rowOff>
    </xdr:from>
    <xdr:to>
      <xdr:col>50</xdr:col>
      <xdr:colOff>822325</xdr:colOff>
      <xdr:row>15</xdr:row>
      <xdr:rowOff>15875</xdr:rowOff>
    </xdr:to>
    <xdr:sp macro="" textlink="">
      <xdr:nvSpPr>
        <xdr:cNvPr id="9" name="CuadroTexto 22">
          <a:extLst>
            <a:ext uri="{FF2B5EF4-FFF2-40B4-BE49-F238E27FC236}">
              <a16:creationId xmlns:a16="http://schemas.microsoft.com/office/drawing/2014/main" id="{FF69BE17-34D6-6A4D-8C9A-F2ABEED1CD1D}"/>
            </a:ext>
          </a:extLst>
        </xdr:cNvPr>
        <xdr:cNvSpPr txBox="1"/>
      </xdr:nvSpPr>
      <xdr:spPr>
        <a:xfrm>
          <a:off x="22498050" y="4270376"/>
          <a:ext cx="8093075" cy="7619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200">
              <a:solidFill>
                <a:schemeClr val="accent1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La posición de la línea que divide</a:t>
          </a:r>
          <a:r>
            <a:rPr lang="es-CO" sz="2200" baseline="0">
              <a:solidFill>
                <a:schemeClr val="accent1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el eje "y "(señalada en color rojo) se debe ubicar en el número correspondiente al promedio.</a:t>
          </a:r>
          <a:endParaRPr lang="es-CO" sz="2200">
            <a:solidFill>
              <a:schemeClr val="accent1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246061</xdr:colOff>
      <xdr:row>5</xdr:row>
      <xdr:rowOff>36512</xdr:rowOff>
    </xdr:from>
    <xdr:to>
      <xdr:col>31</xdr:col>
      <xdr:colOff>376236</xdr:colOff>
      <xdr:row>13</xdr:row>
      <xdr:rowOff>157162</xdr:rowOff>
    </xdr:to>
    <xdr:sp macro="" textlink="">
      <xdr:nvSpPr>
        <xdr:cNvPr id="10" name="Forma libre 23">
          <a:extLst>
            <a:ext uri="{FF2B5EF4-FFF2-40B4-BE49-F238E27FC236}">
              <a16:creationId xmlns:a16="http://schemas.microsoft.com/office/drawing/2014/main" id="{3712F04F-6664-0642-9A04-E3994B5259FA}"/>
            </a:ext>
          </a:extLst>
        </xdr:cNvPr>
        <xdr:cNvSpPr/>
      </xdr:nvSpPr>
      <xdr:spPr>
        <a:xfrm rot="16861315">
          <a:off x="19389724" y="2470149"/>
          <a:ext cx="2355850" cy="2035175"/>
        </a:xfrm>
        <a:custGeom>
          <a:avLst/>
          <a:gdLst>
            <a:gd name="connsiteX0" fmla="*/ 0 w 2110914"/>
            <a:gd name="connsiteY0" fmla="*/ 0 h 2349500"/>
            <a:gd name="connsiteX1" fmla="*/ 1984375 w 2110914"/>
            <a:gd name="connsiteY1" fmla="*/ 2063750 h 2349500"/>
            <a:gd name="connsiteX2" fmla="*/ 1920875 w 2110914"/>
            <a:gd name="connsiteY2" fmla="*/ 2143125 h 2349500"/>
            <a:gd name="connsiteX3" fmla="*/ 2016125 w 2110914"/>
            <a:gd name="connsiteY3" fmla="*/ 2349500 h 2349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110914" h="2349500">
              <a:moveTo>
                <a:pt x="0" y="0"/>
              </a:moveTo>
              <a:cubicBezTo>
                <a:pt x="832114" y="853281"/>
                <a:pt x="1664229" y="1706563"/>
                <a:pt x="1984375" y="2063750"/>
              </a:cubicBezTo>
              <a:cubicBezTo>
                <a:pt x="2304521" y="2420937"/>
                <a:pt x="1915583" y="2095500"/>
                <a:pt x="1920875" y="2143125"/>
              </a:cubicBezTo>
              <a:cubicBezTo>
                <a:pt x="1926167" y="2190750"/>
                <a:pt x="1971146" y="2270125"/>
                <a:pt x="2016125" y="2349500"/>
              </a:cubicBezTo>
            </a:path>
          </a:pathLst>
        </a:cu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111125</xdr:colOff>
      <xdr:row>4</xdr:row>
      <xdr:rowOff>206375</xdr:rowOff>
    </xdr:from>
    <xdr:to>
      <xdr:col>50</xdr:col>
      <xdr:colOff>314325</xdr:colOff>
      <xdr:row>7</xdr:row>
      <xdr:rowOff>104775</xdr:rowOff>
    </xdr:to>
    <xdr:sp macro="" textlink="">
      <xdr:nvSpPr>
        <xdr:cNvPr id="11" name="CuadroTexto 24">
          <a:extLst>
            <a:ext uri="{FF2B5EF4-FFF2-40B4-BE49-F238E27FC236}">
              <a16:creationId xmlns:a16="http://schemas.microsoft.com/office/drawing/2014/main" id="{954C5660-E61C-5047-9BCA-55D0E4E8BE2A}"/>
            </a:ext>
          </a:extLst>
        </xdr:cNvPr>
        <xdr:cNvSpPr txBox="1"/>
      </xdr:nvSpPr>
      <xdr:spPr>
        <a:xfrm>
          <a:off x="21732875" y="2190750"/>
          <a:ext cx="8378825" cy="8509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200">
              <a:solidFill>
                <a:schemeClr val="accent1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La posición de la línea que divide el eje "x" (señalada en color verde) se debe ubicar en el número correspondiente al promedio.</a:t>
          </a:r>
        </a:p>
      </xdr:txBody>
    </xdr:sp>
    <xdr:clientData/>
  </xdr:twoCellAnchor>
  <xdr:oneCellAnchor>
    <xdr:from>
      <xdr:col>0</xdr:col>
      <xdr:colOff>0</xdr:colOff>
      <xdr:row>0</xdr:row>
      <xdr:rowOff>38100</xdr:rowOff>
    </xdr:from>
    <xdr:ext cx="1219200" cy="1155700"/>
    <xdr:pic>
      <xdr:nvPicPr>
        <xdr:cNvPr id="12" name="Picture 11">
          <a:extLst>
            <a:ext uri="{FF2B5EF4-FFF2-40B4-BE49-F238E27FC236}">
              <a16:creationId xmlns:a16="http://schemas.microsoft.com/office/drawing/2014/main" id="{CDEB1381-55D4-9348-8B66-21F8946AC63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219200" cy="115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98AD-6A1C-9642-B146-A79D4DC16BF3}">
  <dimension ref="A1:AV53"/>
  <sheetViews>
    <sheetView tabSelected="1" topLeftCell="B4" zoomScale="66" zoomScaleNormal="85" workbookViewId="0">
      <selection activeCell="J27" sqref="J27"/>
    </sheetView>
  </sheetViews>
  <sheetFormatPr baseColWidth="10" defaultRowHeight="14.5" x14ac:dyDescent="0.35"/>
  <cols>
    <col min="1" max="1" width="16.1796875" customWidth="1"/>
    <col min="2" max="2" width="67.453125" customWidth="1"/>
    <col min="3" max="3" width="9.81640625" style="17" customWidth="1"/>
    <col min="4" max="4" width="6.6328125" style="17" customWidth="1"/>
    <col min="5" max="5" width="5.6328125" style="17" customWidth="1"/>
    <col min="6" max="6" width="5.81640625" style="17" customWidth="1"/>
    <col min="7" max="7" width="5.453125" style="17" customWidth="1"/>
    <col min="8" max="8" width="6" style="17" customWidth="1"/>
    <col min="9" max="9" width="10.1796875" style="17" customWidth="1"/>
    <col min="11" max="11" width="23.453125" customWidth="1"/>
    <col min="12" max="12" width="10.6328125" customWidth="1"/>
    <col min="13" max="13" width="10.81640625" customWidth="1"/>
    <col min="15" max="15" width="6.453125" customWidth="1"/>
    <col min="16" max="16" width="5" bestFit="1" customWidth="1"/>
    <col min="17" max="17" width="3.453125" customWidth="1"/>
    <col min="18" max="25" width="3.453125" bestFit="1" customWidth="1"/>
    <col min="26" max="26" width="4.36328125" customWidth="1"/>
    <col min="27" max="27" width="5" customWidth="1"/>
    <col min="28" max="46" width="5" bestFit="1" customWidth="1"/>
    <col min="47" max="47" width="4.81640625" bestFit="1" customWidth="1"/>
    <col min="54" max="54" width="7.453125" customWidth="1"/>
  </cols>
  <sheetData>
    <row r="1" spans="1:48" ht="16" thickBot="1" x14ac:dyDescent="0.4">
      <c r="A1" s="42"/>
      <c r="B1" s="1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88" thickBot="1" x14ac:dyDescent="1.6">
      <c r="A2" s="42"/>
      <c r="B2" s="3" t="s">
        <v>0</v>
      </c>
      <c r="C2" s="4"/>
      <c r="D2" s="4"/>
      <c r="E2" s="4"/>
      <c r="F2" s="4"/>
      <c r="G2" s="4"/>
      <c r="H2" s="4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6" thickBot="1" x14ac:dyDescent="0.4">
      <c r="A3" s="42"/>
      <c r="B3" s="1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3" customHeight="1" thickBot="1" x14ac:dyDescent="0.4">
      <c r="A4" s="42"/>
      <c r="B4" s="5" t="s">
        <v>1</v>
      </c>
      <c r="C4" s="6"/>
      <c r="D4" s="6"/>
      <c r="E4" s="6"/>
      <c r="F4" s="6"/>
      <c r="G4" s="6"/>
      <c r="H4" s="6"/>
      <c r="I4" s="6"/>
      <c r="J4" s="7"/>
      <c r="K4" s="7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22" thickBot="1" x14ac:dyDescent="0.5">
      <c r="A5" s="1"/>
      <c r="B5" s="1"/>
      <c r="C5" s="2"/>
      <c r="D5" s="2"/>
      <c r="E5" s="2"/>
      <c r="F5" s="2"/>
      <c r="G5" s="2"/>
      <c r="H5" s="2"/>
      <c r="I5" s="2"/>
      <c r="J5" s="1"/>
      <c r="K5" s="10"/>
      <c r="L5" s="1"/>
      <c r="M5" s="2"/>
      <c r="N5" s="2"/>
      <c r="O5" s="1"/>
      <c r="P5" s="43" t="s">
        <v>2</v>
      </c>
      <c r="Q5" s="44"/>
      <c r="R5" s="44"/>
      <c r="S5" s="44"/>
      <c r="T5" s="44"/>
      <c r="U5" s="44"/>
      <c r="V5" s="44"/>
      <c r="W5" s="44"/>
      <c r="X5" s="44"/>
      <c r="Y5" s="4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"/>
    </row>
    <row r="6" spans="1:48" s="17" customFormat="1" ht="72" x14ac:dyDescent="0.4">
      <c r="A6" s="2"/>
      <c r="B6" s="35" t="s">
        <v>21</v>
      </c>
      <c r="C6" s="12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32" t="s">
        <v>3</v>
      </c>
      <c r="J6" s="2"/>
      <c r="K6" s="14"/>
      <c r="L6" s="32" t="str">
        <f t="shared" ref="L6" si="0">I6</f>
        <v>Total activos</v>
      </c>
      <c r="M6" s="36" t="str">
        <f>C12</f>
        <v>Total pasivos</v>
      </c>
      <c r="N6" s="15"/>
      <c r="O6" s="1"/>
      <c r="P6" s="16">
        <v>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</row>
    <row r="7" spans="1:48" ht="15.75" customHeight="1" x14ac:dyDescent="0.4">
      <c r="A7" s="1"/>
      <c r="B7" s="38" t="s">
        <v>22</v>
      </c>
      <c r="C7" s="34" t="s">
        <v>9</v>
      </c>
      <c r="D7" s="18">
        <v>0</v>
      </c>
      <c r="E7" s="19">
        <v>3</v>
      </c>
      <c r="F7" s="19">
        <v>1</v>
      </c>
      <c r="G7" s="19">
        <v>0</v>
      </c>
      <c r="H7" s="19">
        <v>0</v>
      </c>
      <c r="I7" s="20">
        <f t="shared" ref="I7:I12" si="1">SUM(D7:H7)</f>
        <v>4</v>
      </c>
      <c r="J7" s="1"/>
      <c r="K7" s="14" t="s">
        <v>14</v>
      </c>
      <c r="L7" s="19">
        <v>4</v>
      </c>
      <c r="M7" s="19">
        <v>7</v>
      </c>
      <c r="N7" s="1"/>
      <c r="O7" s="1"/>
      <c r="P7" s="16">
        <v>26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15.75" customHeight="1" x14ac:dyDescent="0.4">
      <c r="A8" s="1"/>
      <c r="B8" s="39" t="s">
        <v>23</v>
      </c>
      <c r="C8" s="34" t="s">
        <v>10</v>
      </c>
      <c r="D8" s="19">
        <v>2</v>
      </c>
      <c r="E8" s="18">
        <v>0</v>
      </c>
      <c r="F8" s="19">
        <v>2</v>
      </c>
      <c r="G8" s="19">
        <v>1</v>
      </c>
      <c r="H8" s="19">
        <v>3</v>
      </c>
      <c r="I8" s="20">
        <f t="shared" si="1"/>
        <v>8</v>
      </c>
      <c r="J8" s="1"/>
      <c r="K8" s="14" t="s">
        <v>15</v>
      </c>
      <c r="L8" s="19">
        <v>8</v>
      </c>
      <c r="M8" s="19">
        <v>7</v>
      </c>
      <c r="N8" s="1"/>
      <c r="O8" s="49" t="s">
        <v>19</v>
      </c>
      <c r="P8" s="16">
        <v>25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5.75" customHeight="1" x14ac:dyDescent="0.4">
      <c r="A9" s="1"/>
      <c r="B9" s="39" t="s">
        <v>24</v>
      </c>
      <c r="C9" s="34" t="s">
        <v>11</v>
      </c>
      <c r="D9" s="19">
        <v>2</v>
      </c>
      <c r="E9" s="19">
        <v>2</v>
      </c>
      <c r="F9" s="18">
        <v>0</v>
      </c>
      <c r="G9" s="19">
        <v>1</v>
      </c>
      <c r="H9" s="19">
        <v>1</v>
      </c>
      <c r="I9" s="20">
        <f t="shared" si="1"/>
        <v>6</v>
      </c>
      <c r="J9" s="1"/>
      <c r="K9" s="14" t="s">
        <v>16</v>
      </c>
      <c r="L9" s="19">
        <v>6</v>
      </c>
      <c r="M9" s="19">
        <v>4</v>
      </c>
      <c r="N9" s="1"/>
      <c r="O9" s="49"/>
      <c r="P9" s="16">
        <v>24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5.75" customHeight="1" x14ac:dyDescent="0.4">
      <c r="A10" s="1"/>
      <c r="B10" s="39" t="s">
        <v>25</v>
      </c>
      <c r="C10" s="34" t="s">
        <v>12</v>
      </c>
      <c r="D10" s="19">
        <v>1</v>
      </c>
      <c r="E10" s="19">
        <v>1</v>
      </c>
      <c r="F10" s="19">
        <v>0</v>
      </c>
      <c r="G10" s="18">
        <v>0</v>
      </c>
      <c r="H10" s="19">
        <v>0</v>
      </c>
      <c r="I10" s="20">
        <f t="shared" si="1"/>
        <v>2</v>
      </c>
      <c r="J10" s="1"/>
      <c r="K10" s="14" t="s">
        <v>17</v>
      </c>
      <c r="L10" s="19">
        <v>2</v>
      </c>
      <c r="M10" s="19">
        <v>2</v>
      </c>
      <c r="N10" s="1"/>
      <c r="O10" s="49"/>
      <c r="P10" s="16">
        <v>23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15.75" customHeight="1" x14ac:dyDescent="0.4">
      <c r="A11" s="1"/>
      <c r="B11" s="39" t="s">
        <v>26</v>
      </c>
      <c r="C11" s="34" t="s">
        <v>13</v>
      </c>
      <c r="D11" s="19">
        <v>2</v>
      </c>
      <c r="E11" s="19">
        <v>1</v>
      </c>
      <c r="F11" s="19">
        <v>1</v>
      </c>
      <c r="G11" s="19">
        <v>0</v>
      </c>
      <c r="H11" s="18">
        <v>0</v>
      </c>
      <c r="I11" s="20">
        <f t="shared" si="1"/>
        <v>4</v>
      </c>
      <c r="J11" s="1"/>
      <c r="K11" s="14" t="s">
        <v>18</v>
      </c>
      <c r="L11" s="19">
        <v>4</v>
      </c>
      <c r="M11" s="19">
        <v>4</v>
      </c>
      <c r="N11" s="1"/>
      <c r="O11" s="49"/>
      <c r="P11" s="16">
        <v>22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s="26" customFormat="1" ht="31" customHeight="1" thickBot="1" x14ac:dyDescent="0.35">
      <c r="A12" s="21"/>
      <c r="B12" s="22"/>
      <c r="C12" s="33" t="s">
        <v>4</v>
      </c>
      <c r="D12" s="23">
        <f>SUM(D7:D11)</f>
        <v>7</v>
      </c>
      <c r="E12" s="23">
        <f>SUM(E7:E11)</f>
        <v>7</v>
      </c>
      <c r="F12" s="23">
        <f>SUM(F7:F11)</f>
        <v>4</v>
      </c>
      <c r="G12" s="23">
        <f>SUM(G7:G11)</f>
        <v>2</v>
      </c>
      <c r="H12" s="23">
        <f>SUM(H7:H11)</f>
        <v>4</v>
      </c>
      <c r="I12" s="24">
        <f t="shared" si="1"/>
        <v>24</v>
      </c>
      <c r="J12" s="21"/>
      <c r="K12" s="25" t="s">
        <v>5</v>
      </c>
      <c r="L12" s="37">
        <f>AVERAGE(L7:L11)</f>
        <v>4.8</v>
      </c>
      <c r="M12" s="37">
        <f>AVERAGE(M7:M11)</f>
        <v>4.8</v>
      </c>
      <c r="N12" s="1"/>
      <c r="O12" s="49"/>
      <c r="P12" s="16">
        <v>20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1"/>
    </row>
    <row r="13" spans="1:48" ht="16" thickTop="1" x14ac:dyDescent="0.35">
      <c r="A13" s="1"/>
      <c r="B13" s="1"/>
      <c r="C13" s="2"/>
      <c r="D13" s="2"/>
      <c r="E13" s="2"/>
      <c r="F13" s="2"/>
      <c r="G13" s="2"/>
      <c r="H13" s="2"/>
      <c r="I13" s="2"/>
      <c r="J13" s="1"/>
      <c r="K13" s="1"/>
      <c r="L13" s="2"/>
      <c r="M13" s="2"/>
      <c r="N13" s="2"/>
      <c r="O13" s="49"/>
      <c r="P13" s="16">
        <v>19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5.5" x14ac:dyDescent="0.35">
      <c r="A14" s="1"/>
      <c r="B14" s="1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49"/>
      <c r="P14" s="16">
        <v>18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24" customHeight="1" x14ac:dyDescent="0.4">
      <c r="A15" s="1"/>
      <c r="B15" s="27" t="s">
        <v>6</v>
      </c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49"/>
      <c r="P15" s="16">
        <v>17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27.75" customHeight="1" x14ac:dyDescent="0.35">
      <c r="A16" s="1"/>
      <c r="B16" s="50" t="s">
        <v>23</v>
      </c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49"/>
      <c r="P16" s="16">
        <v>16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ht="19" x14ac:dyDescent="0.4">
      <c r="A17" s="1"/>
      <c r="B17" s="28" t="s">
        <v>7</v>
      </c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49"/>
      <c r="P17" s="16">
        <v>15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t="15.5" x14ac:dyDescent="0.35">
      <c r="A18" s="1"/>
      <c r="B18" s="46" t="s">
        <v>24</v>
      </c>
      <c r="C18" s="47"/>
      <c r="D18" s="47"/>
      <c r="E18" s="47"/>
      <c r="F18" s="47"/>
      <c r="G18" s="47"/>
      <c r="H18" s="47"/>
      <c r="I18" s="2"/>
      <c r="J18" s="1"/>
      <c r="K18" s="1"/>
      <c r="L18" s="1"/>
      <c r="M18" s="1"/>
      <c r="N18" s="1"/>
      <c r="O18" s="49"/>
      <c r="P18" s="16">
        <v>14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15.5" x14ac:dyDescent="0.35">
      <c r="A19" s="1"/>
      <c r="B19" s="47"/>
      <c r="C19" s="47"/>
      <c r="D19" s="47"/>
      <c r="E19" s="47"/>
      <c r="F19" s="47"/>
      <c r="G19" s="47"/>
      <c r="H19" s="47"/>
      <c r="I19" s="2"/>
      <c r="J19" s="1"/>
      <c r="K19" s="1"/>
      <c r="L19" s="1"/>
      <c r="M19" s="1"/>
      <c r="N19" s="1"/>
      <c r="O19" s="49"/>
      <c r="P19" s="16">
        <v>13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5" x14ac:dyDescent="0.35">
      <c r="A20" s="1"/>
      <c r="B20" s="47"/>
      <c r="C20" s="47"/>
      <c r="D20" s="47"/>
      <c r="E20" s="47"/>
      <c r="F20" s="47"/>
      <c r="G20" s="47"/>
      <c r="H20" s="47"/>
      <c r="I20" s="2"/>
      <c r="J20" s="1"/>
      <c r="K20" s="1"/>
      <c r="L20" s="1"/>
      <c r="M20" s="1"/>
      <c r="N20" s="1"/>
      <c r="O20" s="49"/>
      <c r="P20" s="16"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5.5" x14ac:dyDescent="0.35">
      <c r="A21" s="1"/>
      <c r="B21" s="47"/>
      <c r="C21" s="47"/>
      <c r="D21" s="47"/>
      <c r="E21" s="47"/>
      <c r="F21" s="47"/>
      <c r="G21" s="47"/>
      <c r="H21" s="47"/>
      <c r="I21" s="2"/>
      <c r="J21" s="1"/>
      <c r="K21" s="1"/>
      <c r="L21" s="1"/>
      <c r="M21" s="1"/>
      <c r="N21" s="1"/>
      <c r="O21" s="49"/>
      <c r="P21" s="16">
        <v>11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5" x14ac:dyDescent="0.35">
      <c r="A22" s="1"/>
      <c r="B22" s="47"/>
      <c r="C22" s="47"/>
      <c r="D22" s="47"/>
      <c r="E22" s="47"/>
      <c r="F22" s="47"/>
      <c r="G22" s="47"/>
      <c r="H22" s="47"/>
      <c r="I22" s="2"/>
      <c r="J22" s="1"/>
      <c r="K22" s="1"/>
      <c r="L22" s="1"/>
      <c r="M22" s="1"/>
      <c r="N22" s="1"/>
      <c r="O22" s="49"/>
      <c r="P22" s="16">
        <v>10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15.5" x14ac:dyDescent="0.35">
      <c r="A23" s="1"/>
      <c r="B23" s="47"/>
      <c r="C23" s="47"/>
      <c r="D23" s="47"/>
      <c r="E23" s="47"/>
      <c r="F23" s="47"/>
      <c r="G23" s="47"/>
      <c r="H23" s="47"/>
      <c r="I23" s="2"/>
      <c r="J23" s="1"/>
      <c r="K23" s="1"/>
      <c r="L23" s="1"/>
      <c r="M23" s="1"/>
      <c r="N23" s="1"/>
      <c r="O23" s="49"/>
      <c r="P23" s="16">
        <v>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5.5" x14ac:dyDescent="0.35">
      <c r="A24" s="1"/>
      <c r="B24" s="47"/>
      <c r="C24" s="47"/>
      <c r="D24" s="47"/>
      <c r="E24" s="47"/>
      <c r="F24" s="47"/>
      <c r="G24" s="47"/>
      <c r="H24" s="47"/>
      <c r="I24" s="2"/>
      <c r="J24" s="1"/>
      <c r="K24" s="1"/>
      <c r="L24" s="1"/>
      <c r="M24" s="1"/>
      <c r="N24" s="1"/>
      <c r="O24" s="49"/>
      <c r="P24" s="16">
        <v>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ht="15.5" x14ac:dyDescent="0.35">
      <c r="A25" s="1"/>
      <c r="B25" s="47"/>
      <c r="C25" s="47"/>
      <c r="D25" s="47"/>
      <c r="E25" s="47"/>
      <c r="F25" s="47"/>
      <c r="G25" s="47"/>
      <c r="H25" s="47"/>
      <c r="I25" s="2"/>
      <c r="J25" s="1"/>
      <c r="K25" s="1"/>
      <c r="L25" s="1"/>
      <c r="M25" s="1"/>
      <c r="N25" s="1"/>
      <c r="O25" s="49"/>
      <c r="P25" s="16">
        <v>7</v>
      </c>
      <c r="Q25" s="1"/>
      <c r="R25" s="1"/>
      <c r="S25" s="1"/>
      <c r="T25" s="1" t="s">
        <v>9</v>
      </c>
      <c r="U25" s="1"/>
      <c r="V25" s="1"/>
      <c r="W25" s="1"/>
      <c r="X25" s="1" t="s">
        <v>10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5.5" x14ac:dyDescent="0.35">
      <c r="A26" s="1"/>
      <c r="B26" s="47"/>
      <c r="C26" s="47"/>
      <c r="D26" s="47"/>
      <c r="E26" s="47"/>
      <c r="F26" s="47"/>
      <c r="G26" s="47"/>
      <c r="H26" s="47"/>
      <c r="I26" s="2"/>
      <c r="J26" s="1"/>
      <c r="K26" s="1"/>
      <c r="L26" s="1"/>
      <c r="M26" s="1"/>
      <c r="N26" s="1"/>
      <c r="O26" s="49"/>
      <c r="P26" s="16">
        <v>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ht="15.5" x14ac:dyDescent="0.35">
      <c r="A27" s="1"/>
      <c r="B27" s="47"/>
      <c r="C27" s="47"/>
      <c r="D27" s="47"/>
      <c r="E27" s="47"/>
      <c r="F27" s="47"/>
      <c r="G27" s="47"/>
      <c r="H27" s="47"/>
      <c r="I27" s="2"/>
      <c r="J27" s="1"/>
      <c r="K27" s="1"/>
      <c r="L27" s="1"/>
      <c r="M27" s="1"/>
      <c r="N27" s="1"/>
      <c r="O27" s="49"/>
      <c r="P27" s="16">
        <v>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5.5" x14ac:dyDescent="0.35">
      <c r="A28" s="1"/>
      <c r="B28" s="47"/>
      <c r="C28" s="47"/>
      <c r="D28" s="47"/>
      <c r="E28" s="47"/>
      <c r="F28" s="47"/>
      <c r="G28" s="47"/>
      <c r="H28" s="47"/>
      <c r="I28" s="2"/>
      <c r="J28" s="1"/>
      <c r="K28" s="1"/>
      <c r="L28" s="1"/>
      <c r="M28" s="1"/>
      <c r="N28" s="1"/>
      <c r="O28" s="49"/>
      <c r="P28" s="16">
        <v>4</v>
      </c>
      <c r="Q28" s="1"/>
      <c r="R28" s="1"/>
      <c r="S28" s="1"/>
      <c r="T28" s="1" t="s">
        <v>13</v>
      </c>
      <c r="U28" s="1"/>
      <c r="V28" s="1" t="s">
        <v>11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15.5" x14ac:dyDescent="0.35">
      <c r="A29" s="1"/>
      <c r="B29" s="47"/>
      <c r="C29" s="47"/>
      <c r="D29" s="47"/>
      <c r="E29" s="47"/>
      <c r="F29" s="47"/>
      <c r="G29" s="47"/>
      <c r="H29" s="47"/>
      <c r="I29" s="2"/>
      <c r="J29" s="1"/>
      <c r="K29" s="1"/>
      <c r="L29" s="1"/>
      <c r="M29" s="1"/>
      <c r="N29" s="1"/>
      <c r="O29" s="49"/>
      <c r="P29" s="16">
        <v>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5.5" x14ac:dyDescent="0.35">
      <c r="A30" s="1"/>
      <c r="B30" s="1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49"/>
      <c r="P30" s="16">
        <v>2</v>
      </c>
      <c r="Q30" s="1"/>
      <c r="R30" s="1" t="s">
        <v>12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19.5" thickBot="1" x14ac:dyDescent="0.45">
      <c r="A31" s="1"/>
      <c r="B31" s="28" t="s">
        <v>8</v>
      </c>
      <c r="C31" s="2"/>
      <c r="D31" s="2"/>
      <c r="E31" s="2"/>
      <c r="F31" s="2"/>
      <c r="G31" s="2"/>
      <c r="H31" s="2"/>
      <c r="I31" s="2"/>
      <c r="J31" s="1"/>
      <c r="K31" s="40"/>
      <c r="L31" s="1"/>
      <c r="M31" s="1"/>
      <c r="N31" s="1"/>
      <c r="O31" s="1"/>
      <c r="P31" s="16">
        <v>1</v>
      </c>
      <c r="Q31" s="29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1"/>
    </row>
    <row r="32" spans="1:48" ht="16" thickTop="1" x14ac:dyDescent="0.35">
      <c r="A32" s="1"/>
      <c r="B32" s="46" t="s">
        <v>22</v>
      </c>
      <c r="C32" s="46"/>
      <c r="D32" s="46"/>
      <c r="E32" s="46"/>
      <c r="F32" s="46"/>
      <c r="G32" s="46"/>
      <c r="H32" s="46"/>
      <c r="I32" s="2"/>
      <c r="J32" s="1"/>
      <c r="K32" s="1"/>
      <c r="L32" s="1"/>
      <c r="M32" s="1"/>
      <c r="N32" s="1"/>
      <c r="O32" s="1"/>
      <c r="P32" s="15"/>
      <c r="Q32" s="15">
        <v>1</v>
      </c>
      <c r="R32" s="15">
        <v>2</v>
      </c>
      <c r="S32" s="15">
        <v>3</v>
      </c>
      <c r="T32" s="15">
        <v>4</v>
      </c>
      <c r="U32" s="15">
        <v>5</v>
      </c>
      <c r="V32" s="15">
        <v>6</v>
      </c>
      <c r="W32" s="15">
        <v>7</v>
      </c>
      <c r="X32" s="15">
        <v>8</v>
      </c>
      <c r="Y32" s="15">
        <v>9</v>
      </c>
      <c r="Z32" s="15">
        <v>10</v>
      </c>
      <c r="AA32" s="15">
        <v>11</v>
      </c>
      <c r="AB32" s="15">
        <v>12</v>
      </c>
      <c r="AC32" s="15">
        <v>13</v>
      </c>
      <c r="AD32" s="15">
        <v>14</v>
      </c>
      <c r="AE32" s="15">
        <v>15</v>
      </c>
      <c r="AF32" s="15">
        <v>16</v>
      </c>
      <c r="AG32" s="15">
        <v>17</v>
      </c>
      <c r="AH32" s="15">
        <v>18</v>
      </c>
      <c r="AI32" s="15">
        <v>19</v>
      </c>
      <c r="AJ32" s="15">
        <v>20</v>
      </c>
      <c r="AK32" s="15">
        <v>21</v>
      </c>
      <c r="AL32" s="15">
        <v>22</v>
      </c>
      <c r="AM32" s="15">
        <v>23</v>
      </c>
      <c r="AN32" s="15">
        <v>24</v>
      </c>
      <c r="AO32" s="15">
        <v>25</v>
      </c>
      <c r="AP32" s="15">
        <v>26</v>
      </c>
      <c r="AQ32" s="15">
        <v>27</v>
      </c>
      <c r="AR32" s="15">
        <v>28</v>
      </c>
      <c r="AS32" s="15">
        <v>29</v>
      </c>
      <c r="AT32" s="15">
        <v>30</v>
      </c>
      <c r="AU32" s="15"/>
      <c r="AV32" s="1"/>
    </row>
    <row r="33" spans="1:48" ht="15.5" x14ac:dyDescent="0.35">
      <c r="A33" s="1"/>
      <c r="B33" s="46"/>
      <c r="C33" s="46"/>
      <c r="D33" s="46"/>
      <c r="E33" s="46"/>
      <c r="F33" s="46"/>
      <c r="G33" s="46"/>
      <c r="H33" s="46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30" x14ac:dyDescent="0.6">
      <c r="A34" s="1"/>
      <c r="B34" s="46"/>
      <c r="C34" s="46"/>
      <c r="D34" s="46"/>
      <c r="E34" s="46"/>
      <c r="F34" s="46"/>
      <c r="G34" s="46"/>
      <c r="H34" s="46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8" t="s">
        <v>20</v>
      </c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1"/>
      <c r="AR34" s="1"/>
      <c r="AS34" s="1"/>
      <c r="AT34" s="1"/>
      <c r="AU34" s="1"/>
      <c r="AV34" s="1"/>
    </row>
    <row r="35" spans="1:48" ht="15.5" x14ac:dyDescent="0.35">
      <c r="A35" s="1"/>
      <c r="B35" s="46"/>
      <c r="C35" s="46"/>
      <c r="D35" s="46"/>
      <c r="E35" s="46"/>
      <c r="F35" s="46"/>
      <c r="G35" s="46"/>
      <c r="H35" s="46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t="15.5" x14ac:dyDescent="0.35">
      <c r="A36" s="1"/>
      <c r="B36" s="46"/>
      <c r="C36" s="46"/>
      <c r="D36" s="46"/>
      <c r="E36" s="46"/>
      <c r="F36" s="46"/>
      <c r="G36" s="46"/>
      <c r="H36" s="46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B37" s="46"/>
      <c r="C37" s="46"/>
      <c r="D37" s="46"/>
      <c r="E37" s="46"/>
      <c r="F37" s="46"/>
      <c r="G37" s="46"/>
      <c r="H37" s="46"/>
    </row>
    <row r="38" spans="1:48" x14ac:dyDescent="0.35">
      <c r="B38" s="46"/>
      <c r="C38" s="46"/>
      <c r="D38" s="46"/>
      <c r="E38" s="46"/>
      <c r="F38" s="46"/>
      <c r="G38" s="46"/>
      <c r="H38" s="46"/>
    </row>
    <row r="39" spans="1:48" x14ac:dyDescent="0.35">
      <c r="B39" s="46"/>
      <c r="C39" s="46"/>
      <c r="D39" s="46"/>
      <c r="E39" s="46"/>
      <c r="F39" s="46"/>
      <c r="G39" s="46"/>
      <c r="H39" s="46"/>
    </row>
    <row r="40" spans="1:48" x14ac:dyDescent="0.35">
      <c r="B40" s="46"/>
      <c r="C40" s="46"/>
      <c r="D40" s="46"/>
      <c r="E40" s="46"/>
      <c r="F40" s="46"/>
      <c r="G40" s="46"/>
      <c r="H40" s="46"/>
    </row>
    <row r="41" spans="1:48" x14ac:dyDescent="0.35">
      <c r="B41" s="46"/>
      <c r="C41" s="46"/>
      <c r="D41" s="46"/>
      <c r="E41" s="46"/>
      <c r="F41" s="46"/>
      <c r="G41" s="46"/>
      <c r="H41" s="46"/>
    </row>
    <row r="42" spans="1:48" s="17" customFormat="1" x14ac:dyDescent="0.35">
      <c r="A42"/>
      <c r="B42" s="46"/>
      <c r="C42" s="46"/>
      <c r="D42" s="46"/>
      <c r="E42" s="46"/>
      <c r="F42" s="46"/>
      <c r="G42" s="46"/>
      <c r="H42" s="46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pans="1:48" s="17" customFormat="1" x14ac:dyDescent="0.35">
      <c r="A43"/>
      <c r="B43" s="46"/>
      <c r="C43" s="46"/>
      <c r="D43" s="46"/>
      <c r="E43" s="46"/>
      <c r="F43" s="46"/>
      <c r="G43" s="46"/>
      <c r="H43" s="46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</row>
    <row r="44" spans="1:48" s="17" customFormat="1" x14ac:dyDescent="0.35">
      <c r="A44"/>
      <c r="B44" s="46"/>
      <c r="C44" s="46"/>
      <c r="D44" s="46"/>
      <c r="E44" s="46"/>
      <c r="F44" s="46"/>
      <c r="G44" s="46"/>
      <c r="H44" s="46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7" spans="1:48" s="17" customFormat="1" ht="15" customHeight="1" x14ac:dyDescent="0.35">
      <c r="A47"/>
      <c r="B47" s="41"/>
      <c r="C47" s="41"/>
      <c r="D47" s="41"/>
      <c r="E47" s="41"/>
      <c r="F47" s="41"/>
      <c r="G47" s="41"/>
      <c r="H47" s="41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1:48" s="17" customFormat="1" ht="15" customHeight="1" x14ac:dyDescent="0.35">
      <c r="A48"/>
      <c r="B48" s="41"/>
      <c r="C48" s="41"/>
      <c r="D48" s="41"/>
      <c r="E48" s="41"/>
      <c r="F48" s="41"/>
      <c r="G48" s="41"/>
      <c r="H48" s="41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s="17" customFormat="1" ht="15" customHeight="1" x14ac:dyDescent="0.35">
      <c r="A49"/>
      <c r="B49" s="41"/>
      <c r="C49" s="41"/>
      <c r="D49" s="41"/>
      <c r="E49" s="41"/>
      <c r="F49" s="41"/>
      <c r="G49" s="41"/>
      <c r="H49" s="41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s="17" customFormat="1" ht="15" customHeight="1" x14ac:dyDescent="0.35">
      <c r="A50"/>
      <c r="B50" s="41"/>
      <c r="C50" s="41"/>
      <c r="D50" s="41"/>
      <c r="E50" s="41"/>
      <c r="F50" s="41"/>
      <c r="G50" s="41"/>
      <c r="H50" s="41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s="17" customFormat="1" ht="8" customHeight="1" x14ac:dyDescent="0.35">
      <c r="A51"/>
      <c r="B51" s="41"/>
      <c r="C51" s="41"/>
      <c r="D51" s="41"/>
      <c r="E51" s="41"/>
      <c r="F51" s="41"/>
      <c r="G51" s="41"/>
      <c r="H51" s="4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s="17" customFormat="1" ht="4" hidden="1" customHeight="1" x14ac:dyDescent="0.35">
      <c r="A52"/>
      <c r="B52" s="41"/>
      <c r="C52" s="41"/>
      <c r="D52" s="41"/>
      <c r="E52" s="41"/>
      <c r="F52" s="41"/>
      <c r="G52" s="41"/>
      <c r="H52" s="41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s="17" customFormat="1" ht="4" customHeight="1" x14ac:dyDescent="0.35">
      <c r="A53"/>
      <c r="B53" s="41"/>
      <c r="C53" s="41"/>
      <c r="D53" s="41"/>
      <c r="E53" s="41"/>
      <c r="F53" s="41"/>
      <c r="G53" s="41"/>
      <c r="H53" s="41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</sheetData>
  <mergeCells count="7">
    <mergeCell ref="B47:H53"/>
    <mergeCell ref="A1:A4"/>
    <mergeCell ref="P5:Y5"/>
    <mergeCell ref="B18:H29"/>
    <mergeCell ref="B32:H44"/>
    <mergeCell ref="V34:AP34"/>
    <mergeCell ref="O8:O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VESTER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Lopez Cepeda</dc:creator>
  <cp:lastModifiedBy>danielalejandro2527@gmail.com</cp:lastModifiedBy>
  <dcterms:created xsi:type="dcterms:W3CDTF">2025-03-12T15:21:49Z</dcterms:created>
  <dcterms:modified xsi:type="dcterms:W3CDTF">2025-10-30T13:06:04Z</dcterms:modified>
</cp:coreProperties>
</file>